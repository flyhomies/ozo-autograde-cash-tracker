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xr:revisionPtr revIDLastSave="0" documentId="8_{6EDE6B74-2946-8B40-9F28-9626804FC831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USUAL" sheetId="7" r:id="rId1"/>
    <sheet name="INCOME " sheetId="1" r:id="rId2"/>
    <sheet name="LIABILITIES  OR EMI" sheetId="6" r:id="rId3"/>
    <sheet name="ENTERTAINMENT " sheetId="5" r:id="rId4"/>
    <sheet name="PETROL" sheetId="3" r:id="rId5"/>
    <sheet name="UN EXPECTED" sheetId="4" r:id="rId6"/>
    <sheet name="MONTHLY SUMMARY " sheetId="2" r:id="rId7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2" l="1"/>
  <c r="C7" i="2"/>
  <c r="B7" i="2"/>
  <c r="B2" i="2"/>
  <c r="C3" i="2"/>
  <c r="C4" i="2"/>
  <c r="C5" i="2"/>
  <c r="C6" i="2"/>
  <c r="D6" i="2"/>
  <c r="A1" i="4"/>
  <c r="D5" i="2"/>
  <c r="A1" i="3"/>
  <c r="D4" i="2"/>
  <c r="A36" i="5"/>
  <c r="D3" i="2"/>
  <c r="D17" i="6"/>
  <c r="D2" i="2"/>
  <c r="A2" i="1"/>
  <c r="B3" i="6"/>
  <c r="B6" i="5"/>
  <c r="B7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30" i="5"/>
  <c r="B4" i="5"/>
  <c r="A2" i="5"/>
  <c r="D5" i="6"/>
  <c r="C4" i="1"/>
  <c r="C15" i="6"/>
  <c r="D16" i="6"/>
  <c r="D15" i="6"/>
  <c r="C4" i="6"/>
  <c r="C34" i="4"/>
  <c r="C8" i="2"/>
  <c r="A1" i="5"/>
  <c r="B32" i="7"/>
  <c r="B3" i="3"/>
  <c r="B7" i="7"/>
  <c r="B25" i="7"/>
  <c r="B27" i="7"/>
  <c r="B33" i="7"/>
  <c r="D14" i="6"/>
  <c r="D13" i="6"/>
  <c r="D12" i="6"/>
  <c r="D11" i="6"/>
  <c r="D10" i="6"/>
  <c r="D9" i="6"/>
  <c r="D8" i="6"/>
  <c r="D7" i="6"/>
  <c r="D6" i="6"/>
</calcChain>
</file>

<file path=xl/sharedStrings.xml><?xml version="1.0" encoding="utf-8"?>
<sst xmlns="http://schemas.openxmlformats.org/spreadsheetml/2006/main" count="99" uniqueCount="78">
  <si>
    <t>Date</t>
  </si>
  <si>
    <t>Details</t>
  </si>
  <si>
    <t>Cash In</t>
  </si>
  <si>
    <t>Cash Out</t>
  </si>
  <si>
    <t>Warning</t>
  </si>
  <si>
    <t>Qatar</t>
  </si>
  <si>
    <t>50K Personal Loan</t>
  </si>
  <si>
    <t>10K Personal Loan</t>
  </si>
  <si>
    <t xml:space="preserve">30K Personal Loan </t>
  </si>
  <si>
    <t>Activa Scooter EMI</t>
  </si>
  <si>
    <t>Ola Scooter EMI</t>
  </si>
  <si>
    <t>JBL Speaker EMI</t>
  </si>
  <si>
    <t>Ayal Koottam Loan</t>
  </si>
  <si>
    <t>Salary</t>
  </si>
  <si>
    <t>House Rent</t>
  </si>
  <si>
    <t>Car Loan</t>
  </si>
  <si>
    <t>TA&amp; DA</t>
  </si>
  <si>
    <t>Kuri</t>
  </si>
  <si>
    <t xml:space="preserve">WARNING </t>
  </si>
  <si>
    <t>EMI &amp; HOUSE RENT</t>
  </si>
  <si>
    <t>PETROL EXPENSE</t>
  </si>
  <si>
    <t>OTHER EXPENSE</t>
  </si>
  <si>
    <t xml:space="preserve">PERSONAL ENTERTAINMENT </t>
  </si>
  <si>
    <t>TOTAL INCOME</t>
  </si>
  <si>
    <t>SAVINGS</t>
  </si>
  <si>
    <t>INCOME</t>
  </si>
  <si>
    <t xml:space="preserve">LIABILITIES </t>
  </si>
  <si>
    <t>FIXED INCOME</t>
  </si>
  <si>
    <t xml:space="preserve">SALARY </t>
  </si>
  <si>
    <t>TA &amp; DA</t>
  </si>
  <si>
    <t>JBl EMI</t>
  </si>
  <si>
    <t>30K LOAN</t>
  </si>
  <si>
    <t>10K LOAN</t>
  </si>
  <si>
    <t>50K LOAN</t>
  </si>
  <si>
    <t>OLA EMI</t>
  </si>
  <si>
    <t>ACTIVA EMI</t>
  </si>
  <si>
    <t>CAR LOAN</t>
  </si>
  <si>
    <t>AYALKOOTTAM LOAN</t>
  </si>
  <si>
    <t>HOUSE RENT</t>
  </si>
  <si>
    <t>CURRENT BILL</t>
  </si>
  <si>
    <t xml:space="preserve">MOBILE RECHARGE </t>
  </si>
  <si>
    <t>CREDIT CARD BILL</t>
  </si>
  <si>
    <t>TOTAL</t>
  </si>
  <si>
    <t>LOAN</t>
  </si>
  <si>
    <t>AMOUNT</t>
  </si>
  <si>
    <t>CLOSING DATE</t>
  </si>
  <si>
    <t>RECEIVING  DATE</t>
  </si>
  <si>
    <t xml:space="preserve">DUE DATE </t>
  </si>
  <si>
    <t>2nd date</t>
  </si>
  <si>
    <t>2rd date</t>
  </si>
  <si>
    <t>2th date</t>
  </si>
  <si>
    <t>5th date</t>
  </si>
  <si>
    <t>7th date</t>
  </si>
  <si>
    <t>5-10th date</t>
  </si>
  <si>
    <t>15nth date</t>
  </si>
  <si>
    <t>30th date</t>
  </si>
  <si>
    <t>QATAR INCOME</t>
  </si>
  <si>
    <t xml:space="preserve">CONTINGENT EXPENSES </t>
  </si>
  <si>
    <t>PETROL</t>
  </si>
  <si>
    <t>KURI</t>
  </si>
  <si>
    <t>CREDIT CARD EMI</t>
  </si>
  <si>
    <t>11-30th date</t>
  </si>
  <si>
    <t>DEBTS</t>
  </si>
  <si>
    <t>CREDIT CARD</t>
  </si>
  <si>
    <t>ACB COLLECTION</t>
  </si>
  <si>
    <t>OTHER PERSON</t>
  </si>
  <si>
    <t>BALANCE</t>
  </si>
  <si>
    <t>ANI</t>
  </si>
  <si>
    <t xml:space="preserve">ചെടി </t>
  </si>
  <si>
    <t>OTHER AVAILABLE</t>
  </si>
  <si>
    <t>BONUS</t>
  </si>
  <si>
    <t>PARTICLAR</t>
  </si>
  <si>
    <t xml:space="preserve">Screen guard </t>
  </si>
  <si>
    <t xml:space="preserve">Wifi Recharge </t>
  </si>
  <si>
    <t>Current bill</t>
  </si>
  <si>
    <t>Mobile Recharge</t>
  </si>
  <si>
    <t>CREDIT</t>
  </si>
  <si>
    <t>EBIT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</si>
</sst>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 ;[Red]\-0.00\ "/>
  </numFmts>
  <fonts count="18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B050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</font>
    <font>
      <sz val="8"/>
      <color theme="1"/>
      <name val="Calibri"/>
    </font>
    <font>
      <b/>
      <sz val="11"/>
      <color theme="1"/>
      <name val="Calibri"/>
      <family val="2"/>
      <scheme val="minor"/>
    </font>
    <font>
      <sz val="6"/>
      <name val="Yu Gothic"/>
      <family val="2"/>
      <charset val="128"/>
    </font>
    <font>
      <b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4"/>
      <name val="Calibri"/>
    </font>
    <font>
      <sz val="14"/>
      <color theme="1"/>
      <name val="Calibri"/>
      <family val="2"/>
      <scheme val="minor"/>
    </font>
    <font>
      <i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rgb="FFFF0000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/>
      <top/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 style="thin">
        <color rgb="FF505050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16" fontId="0" fillId="0" borderId="0" xfId="0" applyNumberFormat="1"/>
    <xf numFmtId="16" fontId="0" fillId="0" borderId="1" xfId="0" applyNumberFormat="1" applyBorder="1"/>
    <xf numFmtId="0" fontId="0" fillId="0" borderId="1" xfId="0" applyBorder="1"/>
    <xf numFmtId="0" fontId="2" fillId="0" borderId="0" xfId="0" applyFont="1" applyFill="1"/>
    <xf numFmtId="0" fontId="3" fillId="0" borderId="0" xfId="0" applyFont="1" applyFill="1"/>
    <xf numFmtId="164" fontId="4" fillId="0" borderId="0" xfId="0" applyNumberFormat="1" applyFont="1"/>
    <xf numFmtId="164" fontId="5" fillId="0" borderId="1" xfId="0" applyNumberFormat="1" applyFont="1" applyBorder="1"/>
    <xf numFmtId="164" fontId="0" fillId="0" borderId="0" xfId="0" applyNumberFormat="1" applyFont="1"/>
    <xf numFmtId="0" fontId="0" fillId="0" borderId="1" xfId="0" applyFont="1" applyFill="1" applyBorder="1"/>
    <xf numFmtId="0" fontId="6" fillId="0" borderId="0" xfId="0" applyFont="1"/>
    <xf numFmtId="0" fontId="0" fillId="0" borderId="0" xfId="0" applyAlignment="1">
      <alignment horizontal="center" vertical="top"/>
    </xf>
    <xf numFmtId="17" fontId="0" fillId="0" borderId="0" xfId="0" applyNumberFormat="1"/>
    <xf numFmtId="0" fontId="6" fillId="0" borderId="0" xfId="0" applyFont="1" applyAlignment="1">
      <alignment horizontal="center"/>
    </xf>
    <xf numFmtId="0" fontId="9" fillId="0" borderId="0" xfId="0" applyFont="1"/>
    <xf numFmtId="16" fontId="1" fillId="0" borderId="0" xfId="0" applyNumberFormat="1" applyFont="1"/>
    <xf numFmtId="16" fontId="0" fillId="0" borderId="3" xfId="0" applyNumberFormat="1" applyBorder="1"/>
    <xf numFmtId="0" fontId="0" fillId="0" borderId="3" xfId="0" applyBorder="1"/>
    <xf numFmtId="0" fontId="0" fillId="0" borderId="3" xfId="0" applyFont="1" applyFill="1" applyBorder="1"/>
    <xf numFmtId="0" fontId="8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164" fontId="12" fillId="0" borderId="0" xfId="0" applyNumberFormat="1" applyFont="1"/>
    <xf numFmtId="0" fontId="14" fillId="0" borderId="0" xfId="0" applyFont="1"/>
    <xf numFmtId="164" fontId="9" fillId="0" borderId="3" xfId="0" applyNumberFormat="1" applyFont="1" applyBorder="1"/>
    <xf numFmtId="164" fontId="9" fillId="0" borderId="1" xfId="0" applyNumberFormat="1" applyFont="1" applyBorder="1"/>
    <xf numFmtId="0" fontId="0" fillId="0" borderId="4" xfId="0" applyBorder="1"/>
    <xf numFmtId="164" fontId="3" fillId="0" borderId="0" xfId="0" applyNumberFormat="1" applyFont="1"/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7" fontId="1" fillId="0" borderId="2" xfId="0" applyNumberFormat="1" applyFont="1" applyBorder="1" applyAlignment="1">
      <alignment horizontal="center"/>
    </xf>
    <xf numFmtId="0" fontId="16" fillId="0" borderId="0" xfId="0" applyFont="1" applyAlignment="1">
      <alignment horizontal="center"/>
    </xf>
    <xf numFmtId="17" fontId="0" fillId="0" borderId="0" xfId="0" applyNumberFormat="1" applyAlignment="1">
      <alignment horizontal="center"/>
    </xf>
    <xf numFmtId="0" fontId="17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64" fontId="10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calcChain" Target="calcChain.xml" /><Relationship Id="rId5" Type="http://schemas.openxmlformats.org/officeDocument/2006/relationships/worksheet" Target="worksheets/sheet5.xml" /><Relationship Id="rId10" Type="http://schemas.openxmlformats.org/officeDocument/2006/relationships/sharedStrings" Target="sharedStrings.xml" /><Relationship Id="rId4" Type="http://schemas.openxmlformats.org/officeDocument/2006/relationships/worksheet" Target="worksheets/sheet4.xml" /><Relationship Id="rId9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9EC68-AB4D-0640-97C5-27CCD62549B2}">
  <dimension ref="A1:F39"/>
  <sheetViews>
    <sheetView tabSelected="1" zoomScaleNormal="60" zoomScaleSheetLayoutView="100" workbookViewId="0">
      <selection activeCell="G40" sqref="G40"/>
    </sheetView>
  </sheetViews>
  <sheetFormatPr defaultRowHeight="15" x14ac:dyDescent="0.2"/>
  <cols>
    <col min="1" max="1" width="24.88671875" customWidth="1"/>
    <col min="2" max="3" width="10.76171875" customWidth="1"/>
    <col min="4" max="4" width="13.71875" customWidth="1"/>
  </cols>
  <sheetData>
    <row r="1" spans="1:6" s="31" customFormat="1" x14ac:dyDescent="0.2"/>
    <row r="2" spans="1:6" ht="18.75" x14ac:dyDescent="0.25">
      <c r="A2" s="30" t="s">
        <v>27</v>
      </c>
      <c r="B2" s="30"/>
      <c r="C2" s="30"/>
      <c r="D2" s="30"/>
    </row>
    <row r="3" spans="1:6" s="11" customFormat="1" x14ac:dyDescent="0.2">
      <c r="A3" s="14" t="s">
        <v>25</v>
      </c>
      <c r="B3" s="14" t="s">
        <v>44</v>
      </c>
      <c r="C3" s="32" t="s">
        <v>46</v>
      </c>
      <c r="D3" s="32"/>
    </row>
    <row r="4" spans="1:6" x14ac:dyDescent="0.2">
      <c r="A4" t="s">
        <v>28</v>
      </c>
      <c r="B4">
        <v>26000</v>
      </c>
      <c r="C4" s="31" t="s">
        <v>51</v>
      </c>
      <c r="D4" s="31"/>
    </row>
    <row r="5" spans="1:6" x14ac:dyDescent="0.2">
      <c r="A5" t="s">
        <v>29</v>
      </c>
      <c r="B5">
        <v>5000</v>
      </c>
      <c r="C5" s="31" t="s">
        <v>54</v>
      </c>
      <c r="D5" s="31"/>
    </row>
    <row r="6" spans="1:6" x14ac:dyDescent="0.2">
      <c r="A6" t="s">
        <v>56</v>
      </c>
      <c r="B6">
        <v>12000</v>
      </c>
      <c r="C6" s="31" t="s">
        <v>55</v>
      </c>
      <c r="D6" s="31"/>
    </row>
    <row r="7" spans="1:6" s="11" customFormat="1" x14ac:dyDescent="0.2">
      <c r="A7" s="11" t="s">
        <v>42</v>
      </c>
      <c r="B7" s="11">
        <f>SUM(B4:B6)</f>
        <v>43000</v>
      </c>
    </row>
    <row r="8" spans="1:6" s="11" customFormat="1" x14ac:dyDescent="0.2"/>
    <row r="9" spans="1:6" ht="18.75" x14ac:dyDescent="0.25">
      <c r="A9" s="30" t="s">
        <v>26</v>
      </c>
      <c r="B9" s="30"/>
      <c r="C9" s="30"/>
      <c r="D9" s="30"/>
    </row>
    <row r="10" spans="1:6" s="11" customFormat="1" x14ac:dyDescent="0.2">
      <c r="A10" s="14" t="s">
        <v>43</v>
      </c>
      <c r="B10" s="14" t="s">
        <v>44</v>
      </c>
      <c r="C10" s="14" t="s">
        <v>47</v>
      </c>
      <c r="D10" s="11" t="s">
        <v>45</v>
      </c>
    </row>
    <row r="11" spans="1:6" x14ac:dyDescent="0.2">
      <c r="A11" t="s">
        <v>32</v>
      </c>
      <c r="B11">
        <v>1000</v>
      </c>
      <c r="C11" t="s">
        <v>48</v>
      </c>
      <c r="D11" s="13">
        <v>46388</v>
      </c>
    </row>
    <row r="12" spans="1:6" x14ac:dyDescent="0.2">
      <c r="A12" t="s">
        <v>33</v>
      </c>
      <c r="B12">
        <v>2251</v>
      </c>
      <c r="C12" t="s">
        <v>49</v>
      </c>
      <c r="D12" s="13">
        <v>47300</v>
      </c>
      <c r="F12" s="12"/>
    </row>
    <row r="13" spans="1:6" x14ac:dyDescent="0.2">
      <c r="A13" t="s">
        <v>30</v>
      </c>
      <c r="B13">
        <v>1417</v>
      </c>
      <c r="C13" t="s">
        <v>50</v>
      </c>
      <c r="D13" s="13">
        <v>46296</v>
      </c>
    </row>
    <row r="14" spans="1:6" x14ac:dyDescent="0.2">
      <c r="A14" t="s">
        <v>31</v>
      </c>
      <c r="B14">
        <v>1643</v>
      </c>
      <c r="C14" t="s">
        <v>51</v>
      </c>
      <c r="D14" s="13">
        <v>46235</v>
      </c>
    </row>
    <row r="15" spans="1:6" x14ac:dyDescent="0.2">
      <c r="A15" t="s">
        <v>34</v>
      </c>
      <c r="B15">
        <v>3883</v>
      </c>
      <c r="C15" t="s">
        <v>51</v>
      </c>
      <c r="D15" s="13">
        <v>46388</v>
      </c>
    </row>
    <row r="16" spans="1:6" x14ac:dyDescent="0.2">
      <c r="A16" t="s">
        <v>35</v>
      </c>
      <c r="B16">
        <v>2699</v>
      </c>
      <c r="C16" t="s">
        <v>51</v>
      </c>
    </row>
    <row r="17" spans="1:4" x14ac:dyDescent="0.2">
      <c r="A17" t="s">
        <v>37</v>
      </c>
      <c r="B17">
        <v>2500</v>
      </c>
      <c r="C17" t="s">
        <v>51</v>
      </c>
    </row>
    <row r="18" spans="1:4" x14ac:dyDescent="0.2">
      <c r="A18" t="s">
        <v>36</v>
      </c>
      <c r="B18">
        <v>11300</v>
      </c>
      <c r="C18" t="s">
        <v>52</v>
      </c>
      <c r="D18" s="13">
        <v>46722</v>
      </c>
    </row>
    <row r="19" spans="1:4" x14ac:dyDescent="0.2">
      <c r="A19" t="s">
        <v>38</v>
      </c>
      <c r="B19">
        <v>7500</v>
      </c>
      <c r="C19" t="s">
        <v>53</v>
      </c>
    </row>
    <row r="20" spans="1:4" x14ac:dyDescent="0.2">
      <c r="A20" t="s">
        <v>39</v>
      </c>
      <c r="B20">
        <v>500</v>
      </c>
    </row>
    <row r="21" spans="1:4" x14ac:dyDescent="0.2">
      <c r="A21" t="s">
        <v>40</v>
      </c>
      <c r="B21">
        <v>700</v>
      </c>
    </row>
    <row r="22" spans="1:4" x14ac:dyDescent="0.2">
      <c r="A22" t="s">
        <v>60</v>
      </c>
      <c r="B22">
        <v>1247.5999999999999</v>
      </c>
      <c r="C22" t="s">
        <v>61</v>
      </c>
      <c r="D22" s="13">
        <v>46204</v>
      </c>
    </row>
    <row r="23" spans="1:4" x14ac:dyDescent="0.2">
      <c r="A23" t="s">
        <v>60</v>
      </c>
      <c r="B23">
        <v>568.5</v>
      </c>
      <c r="C23" t="s">
        <v>61</v>
      </c>
      <c r="D23" s="13">
        <v>46447</v>
      </c>
    </row>
    <row r="24" spans="1:4" x14ac:dyDescent="0.2">
      <c r="A24" t="s">
        <v>60</v>
      </c>
      <c r="B24">
        <v>350.47</v>
      </c>
      <c r="C24" t="s">
        <v>61</v>
      </c>
      <c r="D24" s="13">
        <v>46508</v>
      </c>
    </row>
    <row r="25" spans="1:4" x14ac:dyDescent="0.2">
      <c r="A25" t="s">
        <v>41</v>
      </c>
      <c r="B25">
        <f>916</f>
        <v>916</v>
      </c>
      <c r="C25" t="s">
        <v>61</v>
      </c>
      <c r="D25" s="13">
        <v>46905</v>
      </c>
    </row>
    <row r="26" spans="1:4" x14ac:dyDescent="0.2">
      <c r="A26" t="s">
        <v>59</v>
      </c>
      <c r="B26">
        <v>2000</v>
      </c>
      <c r="D26" s="13">
        <v>46357</v>
      </c>
    </row>
    <row r="27" spans="1:4" s="11" customFormat="1" x14ac:dyDescent="0.2">
      <c r="A27" s="11" t="s">
        <v>42</v>
      </c>
      <c r="B27" s="11">
        <f>SUM(B11:B26)</f>
        <v>40475.57</v>
      </c>
    </row>
    <row r="29" spans="1:4" ht="18.75" x14ac:dyDescent="0.25">
      <c r="A29" s="30" t="s">
        <v>57</v>
      </c>
      <c r="B29" s="30"/>
      <c r="C29" s="30"/>
      <c r="D29" s="30"/>
    </row>
    <row r="30" spans="1:4" x14ac:dyDescent="0.2">
      <c r="A30" t="s">
        <v>22</v>
      </c>
      <c r="B30">
        <v>1000</v>
      </c>
    </row>
    <row r="31" spans="1:4" x14ac:dyDescent="0.2">
      <c r="A31" t="s">
        <v>58</v>
      </c>
      <c r="B31">
        <v>1500</v>
      </c>
    </row>
    <row r="32" spans="1:4" x14ac:dyDescent="0.2">
      <c r="A32" t="s">
        <v>69</v>
      </c>
      <c r="B32">
        <f>B7-42976</f>
        <v>24</v>
      </c>
    </row>
    <row r="33" spans="1:4" s="11" customFormat="1" x14ac:dyDescent="0.2">
      <c r="A33" s="11" t="s">
        <v>66</v>
      </c>
      <c r="B33" s="11">
        <f>B7-(B27+B30+B31)</f>
        <v>24.430000000000291</v>
      </c>
    </row>
    <row r="36" spans="1:4" ht="18.75" x14ac:dyDescent="0.25">
      <c r="A36" s="30" t="s">
        <v>62</v>
      </c>
      <c r="B36" s="30"/>
      <c r="C36" s="30"/>
      <c r="D36" s="30"/>
    </row>
    <row r="37" spans="1:4" x14ac:dyDescent="0.2">
      <c r="A37" t="s">
        <v>63</v>
      </c>
    </row>
    <row r="38" spans="1:4" x14ac:dyDescent="0.2">
      <c r="A38" t="s">
        <v>64</v>
      </c>
    </row>
    <row r="39" spans="1:4" x14ac:dyDescent="0.2">
      <c r="A39" t="s">
        <v>65</v>
      </c>
    </row>
  </sheetData>
  <mergeCells count="9">
    <mergeCell ref="A36:D36"/>
    <mergeCell ref="A2:D2"/>
    <mergeCell ref="A1:XFD1"/>
    <mergeCell ref="A29:D29"/>
    <mergeCell ref="C4:D4"/>
    <mergeCell ref="C5:D5"/>
    <mergeCell ref="C6:D6"/>
    <mergeCell ref="C3:D3"/>
    <mergeCell ref="A9:D9"/>
  </mergeCells>
  <phoneticPr fontId="7" alignment="center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>
      <selection activeCell="B15" sqref="B15"/>
    </sheetView>
  </sheetViews>
  <sheetFormatPr defaultRowHeight="15" x14ac:dyDescent="0.2"/>
  <cols>
    <col min="1" max="1" width="13.71875" customWidth="1"/>
    <col min="2" max="2" width="19.37109375" customWidth="1"/>
    <col min="3" max="3" width="9.953125" style="5" customWidth="1"/>
    <col min="4" max="4" width="30.40234375" customWidth="1"/>
  </cols>
  <sheetData>
    <row r="1" spans="1:3" x14ac:dyDescent="0.2">
      <c r="A1" s="33">
        <v>46143</v>
      </c>
      <c r="B1" s="33"/>
      <c r="C1" s="33"/>
    </row>
    <row r="2" spans="1:3" x14ac:dyDescent="0.2">
      <c r="A2" s="34" t="str">
        <f>IF(40500&gt;C4," ഇനിയും "&amp;(40500-C4)&amp;" രൂപ കിട്ടാനുണ്ട്",IF(C4&gt;40500,(C4-40500)&amp;" രൂപ അധിക ചിലവ് . ","തുക tally ആയി"))</f>
        <v xml:space="preserve">2445 രൂപ അധിക ചിലവ് . </v>
      </c>
      <c r="B2" s="34"/>
      <c r="C2" s="34"/>
    </row>
    <row r="3" spans="1:3" x14ac:dyDescent="0.2">
      <c r="A3" s="1" t="s">
        <v>0</v>
      </c>
      <c r="B3" s="1" t="s">
        <v>1</v>
      </c>
      <c r="C3" s="6" t="s">
        <v>2</v>
      </c>
    </row>
    <row r="4" spans="1:3" x14ac:dyDescent="0.2">
      <c r="A4" s="1"/>
      <c r="B4" s="1"/>
      <c r="C4" s="6">
        <f>SUM(C5:C9)</f>
        <v>42945</v>
      </c>
    </row>
    <row r="5" spans="1:3" x14ac:dyDescent="0.2">
      <c r="A5" s="3">
        <v>46143</v>
      </c>
      <c r="B5" s="4" t="s">
        <v>5</v>
      </c>
      <c r="C5" s="10">
        <v>12000</v>
      </c>
    </row>
    <row r="6" spans="1:3" x14ac:dyDescent="0.2">
      <c r="A6" s="3">
        <v>46147</v>
      </c>
      <c r="B6" s="4" t="s">
        <v>13</v>
      </c>
      <c r="C6" s="10">
        <v>24282</v>
      </c>
    </row>
    <row r="7" spans="1:3" x14ac:dyDescent="0.2">
      <c r="A7" s="17">
        <v>46157</v>
      </c>
      <c r="B7" s="18" t="s">
        <v>16</v>
      </c>
      <c r="C7" s="19">
        <v>4663</v>
      </c>
    </row>
    <row r="8" spans="1:3" x14ac:dyDescent="0.2">
      <c r="A8" s="3">
        <v>46158</v>
      </c>
      <c r="B8" s="4" t="s">
        <v>70</v>
      </c>
      <c r="C8" s="10">
        <v>2000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0A143-610E-BF48-80F8-2BB40BEDA8BD}">
  <dimension ref="A1:D17"/>
  <sheetViews>
    <sheetView zoomScaleNormal="60" zoomScaleSheetLayoutView="100" workbookViewId="0">
      <selection activeCell="D22" sqref="D22"/>
    </sheetView>
  </sheetViews>
  <sheetFormatPr defaultRowHeight="15" x14ac:dyDescent="0.2"/>
  <cols>
    <col min="1" max="1" width="10.76171875" customWidth="1"/>
    <col min="2" max="2" width="20.17578125" customWidth="1"/>
    <col min="3" max="3" width="10.4921875" customWidth="1"/>
    <col min="4" max="4" width="21.7890625" style="9" customWidth="1"/>
  </cols>
  <sheetData>
    <row r="1" spans="1:4" x14ac:dyDescent="0.2">
      <c r="B1" s="35">
        <v>46143</v>
      </c>
      <c r="C1" s="35"/>
      <c r="D1" s="35"/>
    </row>
    <row r="2" spans="1:4" x14ac:dyDescent="0.2">
      <c r="A2" s="1" t="s">
        <v>0</v>
      </c>
      <c r="B2" s="1" t="s">
        <v>1</v>
      </c>
      <c r="C2" s="1" t="s">
        <v>3</v>
      </c>
      <c r="D2" s="29" t="s">
        <v>4</v>
      </c>
    </row>
    <row r="3" spans="1:4" x14ac:dyDescent="0.2">
      <c r="A3" s="1"/>
      <c r="B3" s="36">
        <f>'INCOME '!C4-2500-C4</f>
        <v>4593</v>
      </c>
      <c r="C3" s="36"/>
      <c r="D3" s="36"/>
    </row>
    <row r="4" spans="1:4" x14ac:dyDescent="0.2">
      <c r="A4" s="1"/>
      <c r="B4" s="1"/>
      <c r="C4" s="1">
        <f>SUM(C5:C17)</f>
        <v>35852</v>
      </c>
      <c r="D4" s="7"/>
    </row>
    <row r="5" spans="1:4" x14ac:dyDescent="0.2">
      <c r="A5" s="3">
        <v>46143</v>
      </c>
      <c r="B5" s="4" t="s">
        <v>17</v>
      </c>
      <c r="C5" s="4">
        <v>1000</v>
      </c>
      <c r="D5" s="8" t="str">
        <f>IF('INCOME '!C4&gt;C5," ഇനിയും "&amp;('INCOME '!C4-C5)&amp;" രൂപ ഉണ്ട്",IF(C5&gt;'INCOME '!C4,(C5-'INCOME '!C4)&amp;" രൂപ അധിക ചിലവ് . ","തുക tally ആയി"))</f>
        <v xml:space="preserve"> ഇനിയും 41945 രൂപ ഉണ്ട്</v>
      </c>
    </row>
    <row r="6" spans="1:4" x14ac:dyDescent="0.2">
      <c r="A6" s="3">
        <v>46144</v>
      </c>
      <c r="B6" s="4" t="s">
        <v>7</v>
      </c>
      <c r="C6" s="4">
        <v>1000</v>
      </c>
      <c r="D6" s="8" t="str">
        <f>IF('INCOME '!C4&gt;C6-C5," ഇനിയും "&amp;('INCOME '!C4-C6-C5)&amp;" രൂപ ഉണ്ട്",IF(C6-C5&gt;'INCOME '!C4,(C6-C5-'INCOME '!C4)&amp;" രൂപ അധിക ചിലവ് . ","തുക tally ആയി"))</f>
        <v xml:space="preserve"> ഇനിയും 40945 രൂപ ഉണ്ട്</v>
      </c>
    </row>
    <row r="7" spans="1:4" x14ac:dyDescent="0.2">
      <c r="A7" s="3">
        <v>46144</v>
      </c>
      <c r="B7" s="4" t="s">
        <v>6</v>
      </c>
      <c r="C7" s="4">
        <v>2251</v>
      </c>
      <c r="D7" s="8" t="str">
        <f>IF('INCOME '!C4&gt;C7-C6-C5," ഇനിയും "&amp;('INCOME '!C4-C7-C6-C5)&amp;" രൂപ ഉണ്ട്",IF(C7-C6-C5&gt;'INCOME '!C4,(C7-C6-C5-'INCOME '!C5)&amp;" രൂപ അധിക ചിലവ് . ","തുക tally ആയി"))</f>
        <v xml:space="preserve"> ഇനിയും 38694 രൂപ ഉണ്ട്</v>
      </c>
    </row>
    <row r="8" spans="1:4" x14ac:dyDescent="0.2">
      <c r="A8" s="3">
        <v>46144</v>
      </c>
      <c r="B8" s="4" t="s">
        <v>11</v>
      </c>
      <c r="C8" s="4">
        <v>1886</v>
      </c>
      <c r="D8" s="8" t="str">
        <f>IF('INCOME '!C4&gt;C8-C7-C6-C5," ഇനിയും "&amp;('INCOME '!C4-C8-C7-C6-C5)&amp;" രൂപ ഉണ്ട്",IF(C8-C7-C6-C5&gt;'INCOME '!C4,(C8-C7-C6-C5-'INCOME '!C4)&amp;" രൂപ അധിക ചിലവ് . ","തുക tally ആയി"))</f>
        <v xml:space="preserve"> ഇനിയും 36808 രൂപ ഉണ്ട്</v>
      </c>
    </row>
    <row r="9" spans="1:4" x14ac:dyDescent="0.2">
      <c r="A9" s="3">
        <v>46147</v>
      </c>
      <c r="B9" s="4" t="s">
        <v>8</v>
      </c>
      <c r="C9" s="4">
        <v>1643</v>
      </c>
      <c r="D9" s="8" t="str">
        <f>IF('INCOME '!C4&gt;C9-C8-C7-C6-C5," ഇനിയും "&amp;('INCOME '!C4-C9-C8-C7-C6-C5)&amp;" രൂപ ഉണ്ട്",IF(C9-C8-C7-C6-C5&gt;'INCOME '!C4,(C9-C8-C7-C6-C5-'INCOME '!C4)&amp;" രൂപ അധിക ചിലവ് . ","തുക tally ആയി"))</f>
        <v xml:space="preserve"> ഇനിയും 35165 രൂപ ഉണ്ട്</v>
      </c>
    </row>
    <row r="10" spans="1:4" x14ac:dyDescent="0.2">
      <c r="A10" s="3">
        <v>46147</v>
      </c>
      <c r="B10" s="4" t="s">
        <v>10</v>
      </c>
      <c r="C10" s="4">
        <v>3883</v>
      </c>
      <c r="D10" s="8" t="str">
        <f>IF('INCOME '!C4&gt;C9-C8-C7-C6-C5-C10," ഇനിയും "&amp;('INCOME '!C4-C9-C8-C7-C6-C5-C10)&amp;" രൂപ ഉണ്ട്",IF(C9-C8-C7-C6-C5&gt;'INCOME '!C4,(C9-C8-C7-C6-C5-C10-'INCOME '!C4)&amp;" രൂപ അധിക ചിലവ് . ","തുക tally ആയി"))</f>
        <v xml:space="preserve"> ഇനിയും 31282 രൂപ ഉണ്ട്</v>
      </c>
    </row>
    <row r="11" spans="1:4" x14ac:dyDescent="0.2">
      <c r="A11" s="3">
        <v>46147</v>
      </c>
      <c r="B11" s="4" t="s">
        <v>9</v>
      </c>
      <c r="C11" s="4">
        <v>2699</v>
      </c>
      <c r="D11" s="8" t="str">
        <f>IF('INCOME '!C4&gt;C9-C8-C7-C6-C5-C10-C11," ഇനിയും "&amp;('INCOME '!C4-C9-C8-C7-C6-C5-C11-C10)&amp;" രൂപ ഉണ്ട്",IF(C9-C8-C11-C7-C6-C5&gt;'INCOME '!C4,(C9-C8-C7-C6-C5-C10-C11-'INCOME '!C4)&amp;" രൂപ അധിക ചിലവ് . ","തുക tally ആയി"))</f>
        <v xml:space="preserve"> ഇനിയും 28583 രൂപ ഉണ്ട്</v>
      </c>
    </row>
    <row r="12" spans="1:4" x14ac:dyDescent="0.2">
      <c r="A12" s="3">
        <v>46147</v>
      </c>
      <c r="B12" s="4" t="s">
        <v>12</v>
      </c>
      <c r="C12" s="4">
        <v>2500</v>
      </c>
      <c r="D12" s="8" t="str">
        <f>IF('INCOME '!C4&gt;C9-C8-C7-C6-C5-C10-C11-C12," ഇനിയും "&amp;('INCOME '!C4-C9-C8-C7-C6-C12-C5-C11-C10)&amp;" രൂപ ഉണ്ട്",IF(C9-C8-C11-C7-C6-C5-C12&gt;'INCOME '!C4,(C9-C8-C7-C6-C5-C10-C11-C12-'INCOME '!C4)&amp;" രൂപ അധിക ചിലവ് . ","തുക tally ആയി"))</f>
        <v xml:space="preserve"> ഇനിയും 26083 രൂപ ഉണ്ട്</v>
      </c>
    </row>
    <row r="13" spans="1:4" x14ac:dyDescent="0.2">
      <c r="A13" s="3">
        <v>46149</v>
      </c>
      <c r="B13" s="4" t="s">
        <v>14</v>
      </c>
      <c r="C13" s="4">
        <v>5000</v>
      </c>
      <c r="D13" s="8" t="str">
        <f>IF('INCOME '!C4&gt;C9-C8-C7-C6-C5-C10-C11-C12-C13," ഇനിയും "&amp;('INCOME '!C4-C9-C8-C7-C6-C12-C5-C11-C10-C13)&amp;" രൂപ ഉണ്ട്",IF(C9-C8-C11-C7-C6-C5-C12-C13&gt;'INCOME '!C4,(C9-C8-C7-C6-C5-C10-C11-C12-C13-'INCOME '!C4)&amp;" രൂപ അധിക ചിലവ് . ","തുക tally ആയി"))</f>
        <v xml:space="preserve"> ഇനിയും 21083 രൂപ ഉണ്ട്</v>
      </c>
    </row>
    <row r="14" spans="1:4" x14ac:dyDescent="0.2">
      <c r="A14" s="3">
        <v>46153</v>
      </c>
      <c r="B14" s="4" t="s">
        <v>15</v>
      </c>
      <c r="C14" s="4">
        <v>11300</v>
      </c>
      <c r="D14" s="8" t="str">
        <f>IF('INCOME '!C4&gt;C9-C8-C7-C6-C5-C10-C11-C12-C13-C14," ഇനിയും "&amp;('INCOME '!C4-C9-C8-C7-C6-C12-C5-C11-C10-C13-C14)&amp;" രൂപ ഉണ്ട്",IF(C9-C8-C11-C7-C6-C5-C12-C13-C14&gt;'INCOME '!C4,(C9-C8-C7-C6-C5-C10-C11-C12-C13-C14-'INCOME '!C4)&amp;" രൂപ അധിക ചിലവ് . ","തുക tally ആയി"))</f>
        <v xml:space="preserve"> ഇനിയും 9783 രൂപ ഉണ്ട്</v>
      </c>
    </row>
    <row r="15" spans="1:4" x14ac:dyDescent="0.2">
      <c r="A15" s="17"/>
      <c r="B15" s="18" t="s">
        <v>75</v>
      </c>
      <c r="C15" s="18">
        <f>400+220+220</f>
        <v>840</v>
      </c>
      <c r="D15" s="26" t="str">
        <f>IF('INCOME '!C4&gt;C9-C8-C7-C6-C5-C10-C11-C12-C13-C14-C15," ഇനിയും "&amp;('INCOME '!C4-C9-C8-C7-C6-C12-C5-C11-C10-C13-C14-C15)&amp;" രൂപ ഉണ്ട്",IF(C9-C8-C11-C7-C6-C5-C12-C13-C14-C15&gt;'INCOME '!C4,(C9-C8-C7-C6-C5-C10-C11-C12-C13-C14-C15-'INCOME '!C4)&amp;" രൂപ അധിക ചിലവ് . ","തുക tally ആയി"))</f>
        <v xml:space="preserve"> ഇനിയും 8943 രൂപ ഉണ്ട്</v>
      </c>
    </row>
    <row r="16" spans="1:4" x14ac:dyDescent="0.2">
      <c r="A16" s="18"/>
      <c r="B16" s="18" t="s">
        <v>73</v>
      </c>
      <c r="C16" s="28">
        <v>350</v>
      </c>
      <c r="D16" s="26" t="str">
        <f>IF('INCOME '!C4&gt;C9-C8-C7-C6-C5-C10-C11-C12-C13-C14-C15-C16," ഇനിയും "&amp;('INCOME '!C4-C9-C8-C7-C6-C12-C5-C11-C10-C13-C14-C15-C16)&amp;" രൂപ ഉണ്ട്",IF(C9-C8-C11-C7-C6-C5-C12-C13-C14-C15&gt;'INCOME '!C4,(C9-C8-C7-C6-C5-C10-C11-C12-C13-C14-C15-C16-'INCOME '!C4)&amp;" രൂപ അധിക ചിലവ് . ","തുക tally ആയി"))</f>
        <v xml:space="preserve"> ഇനിയും 8593 രൂപ ഉണ്ട്</v>
      </c>
    </row>
    <row r="17" spans="1:4" x14ac:dyDescent="0.2">
      <c r="A17" s="4"/>
      <c r="B17" s="4" t="s">
        <v>74</v>
      </c>
      <c r="C17" s="4">
        <v>1500</v>
      </c>
      <c r="D17" s="27" t="str">
        <f>IF('INCOME '!C4&gt;C9-C8-C7-C6-C5-C10-C11-C12-C13-C14-C15-C16-C17," ഇനിയും "&amp;('INCOME '!C4-C9-C8-C7-C6-C12-C5-C11-C10-C13-C14-C15-C16-C17)&amp;" രൂപ ഉണ്ട്",IF(C9-C8-C11-C7-C6-C5-C12-C13-C14-C15-C16-C17&gt;'INCOME '!C4,(C9-C8-C7-C6-C5-C10-C11-C12-C13-C14-C15-C16-C17-'INCOME '!C4)&amp;" രൂപ അധിക ചിലവ് . ","തുക tally ആയി"))</f>
        <v xml:space="preserve"> ഇനിയും 7093 രൂപ ഉണ്ട്</v>
      </c>
    </row>
  </sheetData>
  <mergeCells count="2">
    <mergeCell ref="B1:D1"/>
    <mergeCell ref="B3:D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F805A-9D8C-AB4B-AEA7-17A4AC83E4CC}">
  <dimension ref="A1:B36"/>
  <sheetViews>
    <sheetView zoomScaleNormal="60" zoomScaleSheetLayoutView="100" workbookViewId="0">
      <pane ySplit="2" topLeftCell="A32" activePane="bottomLeft" state="frozen"/>
      <selection activeCell="D4" sqref="D4"/>
      <selection pane="bottomLeft" activeCell="D12" sqref="D12"/>
    </sheetView>
  </sheetViews>
  <sheetFormatPr defaultRowHeight="15" x14ac:dyDescent="0.2"/>
  <cols>
    <col min="1" max="1" width="13.1796875" customWidth="1"/>
    <col min="2" max="2" width="15.87109375" customWidth="1"/>
  </cols>
  <sheetData>
    <row r="1" spans="1:2" hidden="1" x14ac:dyDescent="0.2">
      <c r="A1" s="37">
        <f>'INCOME '!C4-'LIABILITIES  OR EMI'!C4</f>
        <v>7093</v>
      </c>
      <c r="B1" s="37"/>
    </row>
    <row r="2" spans="1:2" x14ac:dyDescent="0.2">
      <c r="A2" s="38">
        <f>'LIABILITIES  OR EMI'!B3-B4</f>
        <v>-6180</v>
      </c>
      <c r="B2" s="38"/>
    </row>
    <row r="3" spans="1:2" x14ac:dyDescent="0.2">
      <c r="A3" s="1" t="s">
        <v>0</v>
      </c>
      <c r="B3" s="1" t="s">
        <v>3</v>
      </c>
    </row>
    <row r="4" spans="1:2" x14ac:dyDescent="0.2">
      <c r="A4" s="1"/>
      <c r="B4" s="1">
        <f>SUM(B5:B35)</f>
        <v>10773</v>
      </c>
    </row>
    <row r="5" spans="1:2" x14ac:dyDescent="0.2">
      <c r="A5" s="2">
        <v>46143</v>
      </c>
      <c r="B5">
        <v>0</v>
      </c>
    </row>
    <row r="6" spans="1:2" x14ac:dyDescent="0.2">
      <c r="A6" s="2">
        <v>46144</v>
      </c>
      <c r="B6">
        <f>24+36+95+50+24</f>
        <v>229</v>
      </c>
    </row>
    <row r="7" spans="1:2" x14ac:dyDescent="0.2">
      <c r="A7" s="2">
        <v>46145</v>
      </c>
      <c r="B7">
        <f>10+100+200+100</f>
        <v>410</v>
      </c>
    </row>
    <row r="8" spans="1:2" x14ac:dyDescent="0.2">
      <c r="A8" s="2">
        <v>46146</v>
      </c>
    </row>
    <row r="9" spans="1:2" x14ac:dyDescent="0.2">
      <c r="A9" s="2">
        <v>46147</v>
      </c>
      <c r="B9">
        <f>325+180+50+100</f>
        <v>655</v>
      </c>
    </row>
    <row r="10" spans="1:2" x14ac:dyDescent="0.2">
      <c r="A10" s="2">
        <v>46148</v>
      </c>
      <c r="B10">
        <f>500+100+40+350</f>
        <v>990</v>
      </c>
    </row>
    <row r="11" spans="1:2" x14ac:dyDescent="0.2">
      <c r="A11" s="2">
        <v>46149</v>
      </c>
      <c r="B11">
        <f>80+48+110</f>
        <v>238</v>
      </c>
    </row>
    <row r="12" spans="1:2" x14ac:dyDescent="0.2">
      <c r="A12" s="2">
        <v>46150</v>
      </c>
      <c r="B12">
        <f>50+60+130+20+50+30+500</f>
        <v>840</v>
      </c>
    </row>
    <row r="13" spans="1:2" x14ac:dyDescent="0.2">
      <c r="A13" s="2">
        <v>46151</v>
      </c>
      <c r="B13">
        <f>84+150</f>
        <v>234</v>
      </c>
    </row>
    <row r="14" spans="1:2" x14ac:dyDescent="0.2">
      <c r="A14" s="2">
        <v>46152</v>
      </c>
      <c r="B14">
        <f>13+100+150</f>
        <v>263</v>
      </c>
    </row>
    <row r="15" spans="1:2" x14ac:dyDescent="0.2">
      <c r="A15" s="2">
        <v>46153</v>
      </c>
      <c r="B15">
        <f>15</f>
        <v>15</v>
      </c>
    </row>
    <row r="16" spans="1:2" x14ac:dyDescent="0.2">
      <c r="A16" s="2">
        <v>46154</v>
      </c>
      <c r="B16">
        <f>10+42</f>
        <v>52</v>
      </c>
    </row>
    <row r="17" spans="1:2" x14ac:dyDescent="0.2">
      <c r="A17" s="2">
        <v>46155</v>
      </c>
      <c r="B17">
        <f>4+31+26+7</f>
        <v>68</v>
      </c>
    </row>
    <row r="18" spans="1:2" x14ac:dyDescent="0.2">
      <c r="A18" s="2">
        <v>46156</v>
      </c>
      <c r="B18">
        <f>10+58</f>
        <v>68</v>
      </c>
    </row>
    <row r="19" spans="1:2" x14ac:dyDescent="0.2">
      <c r="A19" s="2">
        <v>46157</v>
      </c>
      <c r="B19">
        <f>15+30+100+60+550+650+1000</f>
        <v>2405</v>
      </c>
    </row>
    <row r="20" spans="1:2" x14ac:dyDescent="0.2">
      <c r="A20" s="2">
        <v>46158</v>
      </c>
      <c r="B20">
        <f>627+200+250</f>
        <v>1077</v>
      </c>
    </row>
    <row r="21" spans="1:2" x14ac:dyDescent="0.2">
      <c r="A21" s="2">
        <v>46159</v>
      </c>
      <c r="B21">
        <f>500+105+630</f>
        <v>1235</v>
      </c>
    </row>
    <row r="22" spans="1:2" x14ac:dyDescent="0.2">
      <c r="A22" s="2">
        <v>46160</v>
      </c>
      <c r="B22">
        <f>200+30+80+500+50+80+100+332</f>
        <v>1372</v>
      </c>
    </row>
    <row r="23" spans="1:2" x14ac:dyDescent="0.2">
      <c r="A23" s="2">
        <v>46161</v>
      </c>
      <c r="B23">
        <f>60+36</f>
        <v>96</v>
      </c>
    </row>
    <row r="24" spans="1:2" x14ac:dyDescent="0.2">
      <c r="A24" s="2">
        <v>46162</v>
      </c>
      <c r="B24">
        <f>36+200+100+48</f>
        <v>384</v>
      </c>
    </row>
    <row r="25" spans="1:2" x14ac:dyDescent="0.2">
      <c r="A25" s="2">
        <v>46163</v>
      </c>
      <c r="B25">
        <f>30+37</f>
        <v>67</v>
      </c>
    </row>
    <row r="26" spans="1:2" x14ac:dyDescent="0.2">
      <c r="A26" s="2">
        <v>46164</v>
      </c>
      <c r="B26">
        <f>29</f>
        <v>29</v>
      </c>
    </row>
    <row r="27" spans="1:2" x14ac:dyDescent="0.2">
      <c r="A27" s="2">
        <v>46165</v>
      </c>
    </row>
    <row r="28" spans="1:2" x14ac:dyDescent="0.2">
      <c r="A28" s="2">
        <v>46166</v>
      </c>
    </row>
    <row r="29" spans="1:2" x14ac:dyDescent="0.2">
      <c r="A29" s="2">
        <v>46167</v>
      </c>
    </row>
    <row r="30" spans="1:2" x14ac:dyDescent="0.2">
      <c r="A30" s="2">
        <v>46168</v>
      </c>
      <c r="B30">
        <f>26+20</f>
        <v>46</v>
      </c>
    </row>
    <row r="31" spans="1:2" x14ac:dyDescent="0.2">
      <c r="A31" s="2">
        <v>46169</v>
      </c>
    </row>
    <row r="32" spans="1:2" x14ac:dyDescent="0.2">
      <c r="A32" s="2">
        <v>46170</v>
      </c>
    </row>
    <row r="33" spans="1:1" x14ac:dyDescent="0.2">
      <c r="A33" s="2">
        <v>46171</v>
      </c>
    </row>
    <row r="34" spans="1:1" x14ac:dyDescent="0.2">
      <c r="A34" s="2">
        <v>46172</v>
      </c>
    </row>
    <row r="35" spans="1:1" x14ac:dyDescent="0.2">
      <c r="A35" s="2">
        <v>46173</v>
      </c>
    </row>
    <row r="36" spans="1:1" x14ac:dyDescent="0.2">
      <c r="A36" t="str">
        <f>IF('LIABILITIES  OR EMI'!B3&gt;B4," ഇനിയും "&amp;('LIABILITIES  OR EMI'!B3-B4)&amp;" രൂപ ബാക്കിയുണ്ട്",IF(B4&gt;'LIABILITIES  OR EMI'!B3,(B4-'LIABILITIES  OR EMI'!B3)&amp;" രൂപ അധികം ചിലവായി","പണം തീര്‍ന്നു "))</f>
        <v>6180 രൂപ അധികം ചിലവായി</v>
      </c>
    </row>
  </sheetData>
  <mergeCells count="2">
    <mergeCell ref="A1:B1"/>
    <mergeCell ref="A2:B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4A1DA-71A1-7F44-91C4-786382B1AA29}">
  <dimension ref="A1:B5"/>
  <sheetViews>
    <sheetView zoomScaleNormal="60" zoomScaleSheetLayoutView="100" workbookViewId="0">
      <selection activeCell="C19" sqref="C19"/>
    </sheetView>
  </sheetViews>
  <sheetFormatPr defaultRowHeight="15" x14ac:dyDescent="0.2"/>
  <cols>
    <col min="1" max="1" width="9.14453125" customWidth="1"/>
    <col min="2" max="2" width="16.6796875" customWidth="1"/>
  </cols>
  <sheetData>
    <row r="1" spans="1:2" s="15" customFormat="1" x14ac:dyDescent="0.2">
      <c r="A1" s="39" t="str">
        <f>IF(USUAL!B31&gt;B3," ഇനിയും "&amp;(USUAL!B31-B3)&amp;" രൂപ ബാക്കിയുണ്ട്",IF(B3&gt;USUAL!B31,(B3-USUAL!B31)&amp;" രൂപ അധികം ചിലവായി","പണം തീര്‍ന്നു "))</f>
        <v xml:space="preserve">പണം തീര്‍ന്നു </v>
      </c>
      <c r="B1" s="39"/>
    </row>
    <row r="2" spans="1:2" x14ac:dyDescent="0.2">
      <c r="A2" s="1" t="s">
        <v>0</v>
      </c>
      <c r="B2" s="1" t="s">
        <v>3</v>
      </c>
    </row>
    <row r="3" spans="1:2" x14ac:dyDescent="0.2">
      <c r="A3" s="1"/>
      <c r="B3" s="1">
        <f>SUM(B4:B21)</f>
        <v>1500</v>
      </c>
    </row>
    <row r="4" spans="1:2" x14ac:dyDescent="0.2">
      <c r="A4" s="2">
        <v>46159</v>
      </c>
      <c r="B4">
        <v>1000</v>
      </c>
    </row>
    <row r="5" spans="1:2" x14ac:dyDescent="0.2">
      <c r="A5" s="2">
        <v>46167</v>
      </c>
      <c r="B5">
        <v>500</v>
      </c>
    </row>
  </sheetData>
  <mergeCells count="1">
    <mergeCell ref="A1:B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5A799-906F-4347-9E1E-BBCECE1451EA}">
  <dimension ref="A1:C34"/>
  <sheetViews>
    <sheetView topLeftCell="A12" zoomScaleNormal="60" zoomScaleSheetLayoutView="100" workbookViewId="0">
      <selection activeCell="B21" sqref="B21"/>
    </sheetView>
  </sheetViews>
  <sheetFormatPr defaultRowHeight="15" x14ac:dyDescent="0.2"/>
  <cols>
    <col min="1" max="1" width="12.64453125" customWidth="1"/>
    <col min="2" max="2" width="20.17578125" customWidth="1"/>
    <col min="3" max="3" width="9.953125" customWidth="1"/>
  </cols>
  <sheetData>
    <row r="1" spans="1:3" x14ac:dyDescent="0.2">
      <c r="A1" s="40" t="str">
        <f>IF(USUAL!B32&gt;C34," ഇനിയും "&amp;(USUAL!B32-C34)&amp;" രൂപ ബാക്കിയുണ്ട്",IF(C34&gt;USUAL!B32,(C34-USUAL!B32)&amp;" രൂപ അധികം ചിലവായി","പണം തീര്‍ന്നു "))</f>
        <v>1106 രൂപ അധികം ചിലവായി</v>
      </c>
      <c r="B1" s="40"/>
    </row>
    <row r="2" spans="1:3" x14ac:dyDescent="0.2">
      <c r="A2" s="1" t="s">
        <v>0</v>
      </c>
      <c r="B2" s="1" t="s">
        <v>1</v>
      </c>
      <c r="C2" s="1" t="s">
        <v>3</v>
      </c>
    </row>
    <row r="3" spans="1:3" x14ac:dyDescent="0.2">
      <c r="A3" s="16">
        <v>46143</v>
      </c>
      <c r="B3" s="1"/>
      <c r="C3" s="1"/>
    </row>
    <row r="4" spans="1:3" x14ac:dyDescent="0.2">
      <c r="A4" s="16">
        <v>46144</v>
      </c>
    </row>
    <row r="5" spans="1:3" x14ac:dyDescent="0.2">
      <c r="A5" s="16">
        <v>46145</v>
      </c>
    </row>
    <row r="6" spans="1:3" x14ac:dyDescent="0.2">
      <c r="A6" s="16">
        <v>46146</v>
      </c>
      <c r="B6" t="s">
        <v>72</v>
      </c>
      <c r="C6">
        <v>280</v>
      </c>
    </row>
    <row r="7" spans="1:3" x14ac:dyDescent="0.2">
      <c r="A7" s="16">
        <v>46147</v>
      </c>
    </row>
    <row r="8" spans="1:3" x14ac:dyDescent="0.2">
      <c r="A8" s="16">
        <v>46148</v>
      </c>
    </row>
    <row r="9" spans="1:3" x14ac:dyDescent="0.2">
      <c r="A9" s="16">
        <v>46149</v>
      </c>
    </row>
    <row r="10" spans="1:3" x14ac:dyDescent="0.2">
      <c r="A10" s="16">
        <v>46150</v>
      </c>
    </row>
    <row r="11" spans="1:3" x14ac:dyDescent="0.2">
      <c r="A11" s="16">
        <v>46151</v>
      </c>
    </row>
    <row r="12" spans="1:3" x14ac:dyDescent="0.2">
      <c r="A12" s="16">
        <v>46152</v>
      </c>
    </row>
    <row r="13" spans="1:3" x14ac:dyDescent="0.2">
      <c r="A13" s="16">
        <v>46153</v>
      </c>
    </row>
    <row r="14" spans="1:3" x14ac:dyDescent="0.2">
      <c r="A14" s="16">
        <v>46154</v>
      </c>
    </row>
    <row r="15" spans="1:3" x14ac:dyDescent="0.2">
      <c r="A15" s="16">
        <v>46155</v>
      </c>
    </row>
    <row r="16" spans="1:3" x14ac:dyDescent="0.2">
      <c r="A16" s="16">
        <v>46156</v>
      </c>
    </row>
    <row r="17" spans="1:3" x14ac:dyDescent="0.2">
      <c r="A17" s="16">
        <v>46157</v>
      </c>
    </row>
    <row r="18" spans="1:3" x14ac:dyDescent="0.2">
      <c r="A18" s="16">
        <v>46158</v>
      </c>
    </row>
    <row r="19" spans="1:3" x14ac:dyDescent="0.2">
      <c r="A19" s="16">
        <v>46159</v>
      </c>
    </row>
    <row r="20" spans="1:3" x14ac:dyDescent="0.2">
      <c r="A20" s="16">
        <v>46160</v>
      </c>
    </row>
    <row r="21" spans="1:3" x14ac:dyDescent="0.2">
      <c r="A21" s="16">
        <v>46161</v>
      </c>
    </row>
    <row r="22" spans="1:3" x14ac:dyDescent="0.2">
      <c r="A22" s="16">
        <v>46162</v>
      </c>
    </row>
    <row r="23" spans="1:3" x14ac:dyDescent="0.2">
      <c r="A23" s="16">
        <v>46163</v>
      </c>
    </row>
    <row r="24" spans="1:3" x14ac:dyDescent="0.2">
      <c r="A24" s="16">
        <v>46164</v>
      </c>
    </row>
    <row r="25" spans="1:3" x14ac:dyDescent="0.2">
      <c r="A25" s="16">
        <v>46165</v>
      </c>
    </row>
    <row r="26" spans="1:3" x14ac:dyDescent="0.2">
      <c r="A26" s="16">
        <v>46166</v>
      </c>
    </row>
    <row r="27" spans="1:3" x14ac:dyDescent="0.2">
      <c r="A27" s="16">
        <v>46167</v>
      </c>
      <c r="B27" t="s">
        <v>68</v>
      </c>
      <c r="C27">
        <v>350</v>
      </c>
    </row>
    <row r="28" spans="1:3" x14ac:dyDescent="0.2">
      <c r="A28" s="16">
        <v>46168</v>
      </c>
      <c r="B28" t="s">
        <v>67</v>
      </c>
      <c r="C28">
        <v>500</v>
      </c>
    </row>
    <row r="29" spans="1:3" x14ac:dyDescent="0.2">
      <c r="A29" s="16">
        <v>46169</v>
      </c>
    </row>
    <row r="30" spans="1:3" x14ac:dyDescent="0.2">
      <c r="A30" s="16">
        <v>46170</v>
      </c>
    </row>
    <row r="31" spans="1:3" x14ac:dyDescent="0.2">
      <c r="A31" s="16">
        <v>46171</v>
      </c>
    </row>
    <row r="32" spans="1:3" x14ac:dyDescent="0.2">
      <c r="A32" s="16">
        <v>46172</v>
      </c>
    </row>
    <row r="33" spans="1:3" x14ac:dyDescent="0.2">
      <c r="A33" s="16">
        <v>46173</v>
      </c>
    </row>
    <row r="34" spans="1:3" s="11" customFormat="1" x14ac:dyDescent="0.2">
      <c r="C34" s="11">
        <f>SUM(C3:C33)</f>
        <v>1130</v>
      </c>
    </row>
  </sheetData>
  <mergeCells count="1">
    <mergeCell ref="A1:B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topLeftCell="C3" workbookViewId="0">
      <selection activeCell="D8" sqref="D8"/>
    </sheetView>
  </sheetViews>
  <sheetFormatPr defaultRowHeight="18.75" x14ac:dyDescent="0.25"/>
  <cols>
    <col min="1" max="1" width="36.18359375" style="22" customWidth="1"/>
    <col min="2" max="2" width="14.390625" style="22" customWidth="1"/>
    <col min="3" max="3" width="10.89453125" style="22" bestFit="1" customWidth="1"/>
    <col min="4" max="4" width="51.38671875" style="25" customWidth="1"/>
    <col min="5" max="16384" width="8.609375" style="22"/>
  </cols>
  <sheetData>
    <row r="1" spans="1:4" s="20" customFormat="1" x14ac:dyDescent="0.25">
      <c r="A1" s="20" t="s">
        <v>71</v>
      </c>
      <c r="B1" s="20" t="s">
        <v>76</v>
      </c>
      <c r="C1" s="20" t="s">
        <v>77</v>
      </c>
      <c r="D1" s="20" t="s">
        <v>18</v>
      </c>
    </row>
    <row r="2" spans="1:4" x14ac:dyDescent="0.25">
      <c r="A2" s="21" t="s">
        <v>23</v>
      </c>
      <c r="B2" s="22">
        <f>'INCOME '!C4</f>
        <v>42945</v>
      </c>
      <c r="C2" s="22">
        <v>0</v>
      </c>
      <c r="D2" s="23" t="str">
        <f>IF(USUAL!B7&gt;B2," ഇനിയും "&amp;(USUAL!B7-B2)&amp;" രൂപ കിട്ടാനുണ്ട്",IF(B2&gt;USUAL!B7,(B2-USUAL!B7)&amp;" രൂപ അധിക ചിലവ് . ","തുക tally ആയി"))</f>
        <v xml:space="preserve"> ഇനിയും 55 രൂപ കിട്ടാനുണ്ട്</v>
      </c>
    </row>
    <row r="3" spans="1:4" x14ac:dyDescent="0.25">
      <c r="A3" s="21" t="s">
        <v>19</v>
      </c>
      <c r="B3" s="21"/>
      <c r="C3" s="22">
        <f>'LIABILITIES  OR EMI'!C4</f>
        <v>35852</v>
      </c>
      <c r="D3" s="23" t="str">
        <f>IF(USUAL!B27&gt;C3," ഇനിയും "&amp;(USUAL!B27-C3)&amp;" രൂപയുടെ ബാധ്യതയുണ്ട്",IF(C3&gt;USUAL!B27,(C3-USUAL!B27)&amp;" രൂപ അധിക ചിലവ് . ","തുക tally ആയി"))</f>
        <v xml:space="preserve"> ഇനിയും 4623.57 രൂപയുടെ ബാധ്യതയുണ്ട്</v>
      </c>
    </row>
    <row r="4" spans="1:4" x14ac:dyDescent="0.25">
      <c r="A4" s="22" t="s">
        <v>22</v>
      </c>
      <c r="C4" s="22">
        <f>'ENTERTAINMENT '!B4</f>
        <v>10773</v>
      </c>
      <c r="D4" s="23" t="str">
        <f>IF('LIABILITIES  OR EMI'!B3&gt;C4," ഇനിയും "&amp;('LIABILITIES  OR EMI'!B3-C4)&amp;" രൂപ ബാക്കിയുണ്ട്",IF(C4&gt;'LIABILITIES  OR EMI'!B3,(C4-'LIABILITIES  OR EMI'!B3)&amp;" രൂപ അധികം ചിലവായി","പണം തീര്‍ന്നു "))</f>
        <v>6180 രൂപ അധികം ചിലവായി</v>
      </c>
    </row>
    <row r="5" spans="1:4" x14ac:dyDescent="0.25">
      <c r="A5" s="21" t="s">
        <v>20</v>
      </c>
      <c r="B5" s="21"/>
      <c r="C5" s="22">
        <f>PETROL!B3</f>
        <v>1500</v>
      </c>
      <c r="D5" s="23" t="str">
        <f>IF(USUAL!B31&gt;C5," ഇനിയും "&amp;(USUAL!B31-C5)&amp;" രൂപ ബാക്കിയുണ്ട്",IF(C5&gt;USUAL!B31,(C5-USUAL!B31)&amp;" രൂപ അധികം ചിലവായി","പണം തീര്‍ന്നു "))</f>
        <v xml:space="preserve">പണം തീര്‍ന്നു </v>
      </c>
    </row>
    <row r="6" spans="1:4" x14ac:dyDescent="0.25">
      <c r="A6" s="22" t="s">
        <v>21</v>
      </c>
      <c r="C6" s="22">
        <f>'UN EXPECTED'!C34</f>
        <v>1130</v>
      </c>
      <c r="D6" s="23" t="str">
        <f>IF(USUAL!B32&gt;C6," ഇനിയും "&amp;(USUAL!B32-C6)&amp;" രൂപ ബാക്കിയുണ്ട്",IF(C6&gt;USUAL!B32,(C6-USUAL!B32)&amp;" രൂപ അധികം ചിലവായി","പണം തീര്‍ന്നു "))</f>
        <v>1106 രൂപ അധികം ചിലവായി</v>
      </c>
    </row>
    <row r="7" spans="1:4" x14ac:dyDescent="0.25">
      <c r="B7" s="22">
        <f>SUM(B2:B6)</f>
        <v>42945</v>
      </c>
      <c r="C7" s="22">
        <f>SUM(C2:C6)</f>
        <v>49255</v>
      </c>
    </row>
    <row r="8" spans="1:4" x14ac:dyDescent="0.25">
      <c r="A8" s="22" t="s">
        <v>24</v>
      </c>
      <c r="C8" s="24">
        <f>B2-(C3+C4+C5+C6)</f>
        <v>-6310</v>
      </c>
      <c r="D8" s="23" t="str">
        <f>IF(B2&gt;C3," ഇനിയും "&amp;(B2-C3)&amp;" രൂപ ബാക്കിയുണ്ട്",IF('INCOME '!C4&gt;+C6,(B2-C3+C4+C5+C6)&amp;" രൂപ അധികം ചിലവായി","പണം തീര്‍ന്നു "))</f>
        <v xml:space="preserve"> ഇനിയും 7093 രൂപ ബാക്കിയുണ്ട്</v>
      </c>
    </row>
    <row r="9" spans="1:4" x14ac:dyDescent="0.25">
      <c r="D9" s="2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USUAL</vt:lpstr>
      <vt:lpstr>INCOME </vt:lpstr>
      <vt:lpstr>LIABILITIES  OR EMI</vt:lpstr>
      <vt:lpstr>ENTERTAINMENT </vt:lpstr>
      <vt:lpstr>PETROL</vt:lpstr>
      <vt:lpstr>UN EXPECTED</vt:lpstr>
      <vt:lpstr>MONTHLY SUMMARY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2026-05-19T00:32:08Z</dcterms:created>
  <dcterms:modified xsi:type="dcterms:W3CDTF">2026-05-19T00:32:08Z</dcterms:modified>
</cp:coreProperties>
</file>